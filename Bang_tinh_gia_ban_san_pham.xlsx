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PVH\BAI GIANG\BAI GIANG\KE TOAN TRUONG THUC CHIEN\"/>
    </mc:Choice>
  </mc:AlternateContent>
  <xr:revisionPtr revIDLastSave="0" documentId="13_ncr:1_{0FCEF968-7FB2-47DD-B7D0-6A2F3613F428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5" sheetId="5" r:id="rId1"/>
    <sheet name="Tinh_gia_ban" sheetId="1" r:id="rId2"/>
  </sheets>
  <calcPr calcId="179021"/>
</workbook>
</file>

<file path=xl/calcChain.xml><?xml version="1.0" encoding="utf-8"?>
<calcChain xmlns="http://schemas.openxmlformats.org/spreadsheetml/2006/main">
  <c r="F14" i="1" l="1"/>
  <c r="F9" i="1"/>
  <c r="F15" i="1" s="1"/>
  <c r="F16" i="1" s="1"/>
  <c r="D14" i="1"/>
  <c r="D9" i="1"/>
  <c r="D15" i="1" s="1"/>
  <c r="D16" i="1" s="1"/>
  <c r="B14" i="1"/>
  <c r="B9" i="1"/>
  <c r="B15" i="1" s="1"/>
  <c r="B16" i="1" s="1"/>
  <c r="B17" i="1" s="1"/>
  <c r="F17" i="1" l="1"/>
  <c r="F18" i="1"/>
  <c r="D17" i="1"/>
  <c r="D18" i="1"/>
  <c r="F19" i="1" l="1"/>
  <c r="F20" i="1" s="1"/>
  <c r="D19" i="1"/>
  <c r="D20" i="1" s="1"/>
  <c r="B18" i="1"/>
  <c r="B19" i="1" s="1"/>
  <c r="B20" i="1" l="1"/>
</calcChain>
</file>

<file path=xl/sharedStrings.xml><?xml version="1.0" encoding="utf-8"?>
<sst xmlns="http://schemas.openxmlformats.org/spreadsheetml/2006/main" count="41" uniqueCount="41">
  <si>
    <t>1. Sản lượng dự kiến</t>
  </si>
  <si>
    <t>2. Biến phí đơn vị</t>
  </si>
  <si>
    <t xml:space="preserve">   - Giá vốn hàng hóa</t>
  </si>
  <si>
    <t xml:space="preserve">   - Vận chuyển</t>
  </si>
  <si>
    <t xml:space="preserve">   - Hoa hồng bán hàng</t>
  </si>
  <si>
    <t xml:space="preserve">   =&gt; Tổng biến phí đơn vị</t>
  </si>
  <si>
    <t>3. Định phí trong kỳ</t>
  </si>
  <si>
    <t xml:space="preserve">   - Lương quản lý</t>
  </si>
  <si>
    <t xml:space="preserve">   - Thuê văn phòng</t>
  </si>
  <si>
    <t xml:space="preserve">   - Chi phí khác</t>
  </si>
  <si>
    <t xml:space="preserve">   =&gt; Tổng định phí</t>
  </si>
  <si>
    <t>4. Tổng chi phí</t>
  </si>
  <si>
    <t>6. Giá bán đề xuất / đơn vị</t>
  </si>
  <si>
    <t>7. Lợi nhuận trước thuế</t>
  </si>
  <si>
    <t>8. Thuế TNDN (20%)</t>
  </si>
  <si>
    <t>9. Lợi nhuận sau thuế</t>
  </si>
  <si>
    <t xml:space="preserve">   Công thức: Doanh thu mục tiêu để đạt ln 10% = Tổng chi phí / (1 - 10%)</t>
  </si>
  <si>
    <t>5. Doanh thu mục tiêu</t>
  </si>
  <si>
    <t>BẢNG TÍNH GIÁ BÁN</t>
  </si>
  <si>
    <t>MỤC TIÊU LN TRƯỚC THUẾ :</t>
  </si>
  <si>
    <t>*Lịch Học kế toán tổng hợp :</t>
  </si>
  <si>
    <t>https://www.phamvanhoc.com/3x</t>
  </si>
  <si>
    <t>Video Hướng dân lập BCTC trên Excel:</t>
  </si>
  <si>
    <t>https://www.phamvanhoc.com/ktth-excel</t>
  </si>
  <si>
    <t>Hướng dân lập BCTC trên Excel:</t>
  </si>
  <si>
    <t>https://www.phamvanhoc.com/bctc200/?ref=TT200</t>
  </si>
  <si>
    <t>* Hộ kinh doanh: kê khai thuế, sổ sách:</t>
  </si>
  <si>
    <t>https://www.phamvanhoc.com/hokinhdoanh/?ref=hkd</t>
  </si>
  <si>
    <t>video Kinh nghiệm phỏng vấn</t>
  </si>
  <si>
    <t>https://youtu.be/P_3GzMZeQ9o?si=sH2eiJzzfbpJihtD</t>
  </si>
  <si>
    <t>1. Càng Về Sau Cơ Hội Càng Tốt Hơn </t>
  </si>
  <si>
    <t>https://youtu.be/Zsl1Wf48woE</t>
  </si>
  <si>
    <t>2. TẠI SAO EM EM NGHỈ Ở CÔNG TY CŨ </t>
  </si>
  <si>
    <t>https://youtu.be/P60AqURcTyA</t>
  </si>
  <si>
    <t>3.  Tối ưu chi phí bảo hiểm và phương án đòi nợ khó đòi </t>
  </si>
  <si>
    <t>https://youtu.be/mE7N0U7GfB8</t>
  </si>
  <si>
    <t>4. Ứng Tuyển Kế Toán Tổng Hợp Cần Học Những Gì </t>
  </si>
  <si>
    <t>https://youtu.be/GhJRHpyLP2I</t>
  </si>
  <si>
    <t>5. Cách trả lời khi chưa có kinh nghiệm   </t>
  </si>
  <si>
    <t>https://youtu.be/NhpcEvxBcE4</t>
  </si>
  <si>
    <t>Giả sử thuế TNDN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</si>
</sst>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₫_-;\-* #,##0.00\ _₫_-;_-* &quot;-&quot;??\ _₫_-;_-@_-"/>
    <numFmt numFmtId="164" formatCode="_-* #,##0\ _₫_-;\-* #,##0\ _₫_-;_-* &quot;-&quot;??\ _₫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3"/>
      <color theme="1"/>
      <name val="Calibri"/>
      <family val="2"/>
      <scheme val="minor"/>
    </font>
    <font>
      <sz val="13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indexed="12"/>
      <name val="VNbook-Antiqua"/>
    </font>
    <font>
      <u/>
      <sz val="16"/>
      <color indexed="12"/>
      <name val="VNbook-Antiqua"/>
    </font>
    <font>
      <sz val="11"/>
      <name val="VNbook-Antiqua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9" fontId="3" fillId="2" borderId="0" xfId="2" applyFont="1" applyFill="1"/>
    <xf numFmtId="0" fontId="3" fillId="0" borderId="0" xfId="0" applyFont="1"/>
    <xf numFmtId="0" fontId="4" fillId="0" borderId="0" xfId="0" applyFont="1"/>
    <xf numFmtId="164" fontId="3" fillId="0" borderId="0" xfId="1" applyNumberFormat="1" applyFont="1"/>
    <xf numFmtId="164" fontId="2" fillId="0" borderId="0" xfId="1" applyNumberFormat="1" applyFont="1"/>
    <xf numFmtId="0" fontId="2" fillId="2" borderId="0" xfId="0" applyFont="1" applyFill="1"/>
    <xf numFmtId="164" fontId="2" fillId="2" borderId="0" xfId="1" applyNumberFormat="1" applyFont="1" applyFill="1"/>
    <xf numFmtId="0" fontId="3" fillId="2" borderId="0" xfId="0" applyFont="1" applyFill="1"/>
    <xf numFmtId="0" fontId="5" fillId="0" borderId="0" xfId="0" applyFont="1"/>
    <xf numFmtId="0" fontId="7" fillId="0" borderId="0" xfId="0" applyFont="1"/>
    <xf numFmtId="0" fontId="6" fillId="2" borderId="0" xfId="3" applyFont="1" applyFill="1"/>
    <xf numFmtId="0" fontId="10" fillId="2" borderId="0" xfId="4" applyFont="1" applyFill="1" applyAlignment="1" applyProtection="1"/>
    <xf numFmtId="0" fontId="5" fillId="2" borderId="0" xfId="3" applyFont="1" applyFill="1"/>
    <xf numFmtId="0" fontId="11" fillId="0" borderId="0" xfId="5"/>
    <xf numFmtId="0" fontId="6" fillId="2" borderId="0" xfId="0" applyFont="1" applyFill="1"/>
    <xf numFmtId="0" fontId="5" fillId="2" borderId="0" xfId="0" applyFont="1" applyFill="1"/>
    <xf numFmtId="0" fontId="0" fillId="2" borderId="0" xfId="0" applyFill="1"/>
    <xf numFmtId="0" fontId="9" fillId="2" borderId="0" xfId="4" applyFill="1" applyAlignment="1" applyProtection="1"/>
    <xf numFmtId="0" fontId="12" fillId="2" borderId="0" xfId="3" applyFont="1" applyFill="1"/>
    <xf numFmtId="0" fontId="13" fillId="0" borderId="0" xfId="3" applyFont="1"/>
    <xf numFmtId="0" fontId="6" fillId="0" borderId="0" xfId="3" applyFont="1"/>
    <xf numFmtId="0" fontId="9" fillId="0" borderId="0" xfId="4" applyAlignment="1" applyProtection="1"/>
    <xf numFmtId="0" fontId="1" fillId="0" borderId="0" xfId="3" applyFont="1"/>
    <xf numFmtId="0" fontId="14" fillId="0" borderId="0" xfId="6" applyFont="1"/>
    <xf numFmtId="0" fontId="15" fillId="0" borderId="0" xfId="3" applyFont="1"/>
    <xf numFmtId="0" fontId="7" fillId="2" borderId="0" xfId="0" applyFont="1" applyFill="1"/>
    <xf numFmtId="164" fontId="2" fillId="0" borderId="0" xfId="1" applyNumberFormat="1" applyFont="1" applyFill="1"/>
    <xf numFmtId="164" fontId="4" fillId="0" borderId="0" xfId="1" applyNumberFormat="1" applyFont="1"/>
  </cellXfs>
  <cellStyles count="7">
    <cellStyle name="Comma" xfId="1" builtinId="3"/>
    <cellStyle name="Hyperlink 2" xfId="4" xr:uid="{5B7AC5B7-7748-445C-BB43-B9D14258ECF0}"/>
    <cellStyle name="Hyperlink 2 2" xfId="6" xr:uid="{90E5349D-7DE5-4E5A-A1F4-FC430CA10037}"/>
    <cellStyle name="Normal" xfId="0" builtinId="0"/>
    <cellStyle name="Normal 3" xfId="3" xr:uid="{4664B291-D3CF-44AC-B164-A6244F6E3C8E}"/>
    <cellStyle name="Normal 4" xfId="5" xr:uid="{67AADC86-128B-48D6-9ED8-D781CF6595FD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mE7N0U7GfB8" TargetMode="External"/><Relationship Id="rId13" Type="http://schemas.openxmlformats.org/officeDocument/2006/relationships/hyperlink" Target="https://youtu.be/P_3GzMZeQ9o?si=sH2eiJzzfbpJihtD" TargetMode="External"/><Relationship Id="rId3" Type="http://schemas.openxmlformats.org/officeDocument/2006/relationships/hyperlink" Target="https://youtu.be/mE7N0U7GfB8" TargetMode="External"/><Relationship Id="rId7" Type="http://schemas.openxmlformats.org/officeDocument/2006/relationships/hyperlink" Target="https://youtu.be/P60AqURcTyA" TargetMode="External"/><Relationship Id="rId12" Type="http://schemas.openxmlformats.org/officeDocument/2006/relationships/hyperlink" Target="https://www.phamvanhoc.com/hokinhdoanh/?ref=hkd" TargetMode="External"/><Relationship Id="rId2" Type="http://schemas.openxmlformats.org/officeDocument/2006/relationships/hyperlink" Target="https://youtu.be/P60AqURcTyA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youtu.be/Zsl1Wf48woE" TargetMode="External"/><Relationship Id="rId6" Type="http://schemas.openxmlformats.org/officeDocument/2006/relationships/hyperlink" Target="https://youtu.be/Zsl1Wf48woE" TargetMode="External"/><Relationship Id="rId11" Type="http://schemas.openxmlformats.org/officeDocument/2006/relationships/hyperlink" Target="https://www.phamvanhoc.com/3x" TargetMode="External"/><Relationship Id="rId5" Type="http://schemas.openxmlformats.org/officeDocument/2006/relationships/hyperlink" Target="https://youtu.be/NhpcEvxBcE4" TargetMode="External"/><Relationship Id="rId15" Type="http://schemas.openxmlformats.org/officeDocument/2006/relationships/hyperlink" Target="https://www.phamvanhoc.com/ktth-excel" TargetMode="External"/><Relationship Id="rId10" Type="http://schemas.openxmlformats.org/officeDocument/2006/relationships/hyperlink" Target="https://youtu.be/NhpcEvxBcE4" TargetMode="External"/><Relationship Id="rId4" Type="http://schemas.openxmlformats.org/officeDocument/2006/relationships/hyperlink" Target="https://youtu.be/GhJRHpyLP2I" TargetMode="External"/><Relationship Id="rId9" Type="http://schemas.openxmlformats.org/officeDocument/2006/relationships/hyperlink" Target="https://youtu.be/GhJRHpyLP2I" TargetMode="External"/><Relationship Id="rId14" Type="http://schemas.openxmlformats.org/officeDocument/2006/relationships/hyperlink" Target="https://www.phamvanhoc.com/bctc200/?ref=TT2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1193-AF6B-4A54-8AC6-AF6BD7BE06DF}">
  <dimension ref="D2:S25"/>
  <sheetViews>
    <sheetView workbookViewId="0">
      <selection activeCell="Y15" sqref="Y15"/>
    </sheetView>
  </sheetViews>
  <sheetFormatPr defaultRowHeight="15"/>
  <cols>
    <col min="6" max="6" width="10.7109375" customWidth="1"/>
    <col min="7" max="7" width="20.5703125" customWidth="1"/>
    <col min="8" max="9" width="10.7109375" customWidth="1"/>
    <col min="262" max="262" width="10.7109375" customWidth="1"/>
    <col min="263" max="263" width="20.5703125" customWidth="1"/>
    <col min="264" max="265" width="10.7109375" customWidth="1"/>
    <col min="518" max="518" width="10.7109375" customWidth="1"/>
    <col min="519" max="519" width="20.5703125" customWidth="1"/>
    <col min="520" max="521" width="10.7109375" customWidth="1"/>
    <col min="774" max="774" width="10.7109375" customWidth="1"/>
    <col min="775" max="775" width="20.5703125" customWidth="1"/>
    <col min="776" max="777" width="10.7109375" customWidth="1"/>
    <col min="1030" max="1030" width="10.7109375" customWidth="1"/>
    <col min="1031" max="1031" width="20.5703125" customWidth="1"/>
    <col min="1032" max="1033" width="10.7109375" customWidth="1"/>
    <col min="1286" max="1286" width="10.7109375" customWidth="1"/>
    <col min="1287" max="1287" width="20.5703125" customWidth="1"/>
    <col min="1288" max="1289" width="10.7109375" customWidth="1"/>
    <col min="1542" max="1542" width="10.7109375" customWidth="1"/>
    <col min="1543" max="1543" width="20.5703125" customWidth="1"/>
    <col min="1544" max="1545" width="10.7109375" customWidth="1"/>
    <col min="1798" max="1798" width="10.7109375" customWidth="1"/>
    <col min="1799" max="1799" width="20.5703125" customWidth="1"/>
    <col min="1800" max="1801" width="10.7109375" customWidth="1"/>
    <col min="2054" max="2054" width="10.7109375" customWidth="1"/>
    <col min="2055" max="2055" width="20.5703125" customWidth="1"/>
    <col min="2056" max="2057" width="10.7109375" customWidth="1"/>
    <col min="2310" max="2310" width="10.7109375" customWidth="1"/>
    <col min="2311" max="2311" width="20.5703125" customWidth="1"/>
    <col min="2312" max="2313" width="10.7109375" customWidth="1"/>
    <col min="2566" max="2566" width="10.7109375" customWidth="1"/>
    <col min="2567" max="2567" width="20.5703125" customWidth="1"/>
    <col min="2568" max="2569" width="10.7109375" customWidth="1"/>
    <col min="2822" max="2822" width="10.7109375" customWidth="1"/>
    <col min="2823" max="2823" width="20.5703125" customWidth="1"/>
    <col min="2824" max="2825" width="10.7109375" customWidth="1"/>
    <col min="3078" max="3078" width="10.7109375" customWidth="1"/>
    <col min="3079" max="3079" width="20.5703125" customWidth="1"/>
    <col min="3080" max="3081" width="10.7109375" customWidth="1"/>
    <col min="3334" max="3334" width="10.7109375" customWidth="1"/>
    <col min="3335" max="3335" width="20.5703125" customWidth="1"/>
    <col min="3336" max="3337" width="10.7109375" customWidth="1"/>
    <col min="3590" max="3590" width="10.7109375" customWidth="1"/>
    <col min="3591" max="3591" width="20.5703125" customWidth="1"/>
    <col min="3592" max="3593" width="10.7109375" customWidth="1"/>
    <col min="3846" max="3846" width="10.7109375" customWidth="1"/>
    <col min="3847" max="3847" width="20.5703125" customWidth="1"/>
    <col min="3848" max="3849" width="10.7109375" customWidth="1"/>
    <col min="4102" max="4102" width="10.7109375" customWidth="1"/>
    <col min="4103" max="4103" width="20.5703125" customWidth="1"/>
    <col min="4104" max="4105" width="10.7109375" customWidth="1"/>
    <col min="4358" max="4358" width="10.7109375" customWidth="1"/>
    <col min="4359" max="4359" width="20.5703125" customWidth="1"/>
    <col min="4360" max="4361" width="10.7109375" customWidth="1"/>
    <col min="4614" max="4614" width="10.7109375" customWidth="1"/>
    <col min="4615" max="4615" width="20.5703125" customWidth="1"/>
    <col min="4616" max="4617" width="10.7109375" customWidth="1"/>
    <col min="4870" max="4870" width="10.7109375" customWidth="1"/>
    <col min="4871" max="4871" width="20.5703125" customWidth="1"/>
    <col min="4872" max="4873" width="10.7109375" customWidth="1"/>
    <col min="5126" max="5126" width="10.7109375" customWidth="1"/>
    <col min="5127" max="5127" width="20.5703125" customWidth="1"/>
    <col min="5128" max="5129" width="10.7109375" customWidth="1"/>
    <col min="5382" max="5382" width="10.7109375" customWidth="1"/>
    <col min="5383" max="5383" width="20.5703125" customWidth="1"/>
    <col min="5384" max="5385" width="10.7109375" customWidth="1"/>
    <col min="5638" max="5638" width="10.7109375" customWidth="1"/>
    <col min="5639" max="5639" width="20.5703125" customWidth="1"/>
    <col min="5640" max="5641" width="10.7109375" customWidth="1"/>
    <col min="5894" max="5894" width="10.7109375" customWidth="1"/>
    <col min="5895" max="5895" width="20.5703125" customWidth="1"/>
    <col min="5896" max="5897" width="10.7109375" customWidth="1"/>
    <col min="6150" max="6150" width="10.7109375" customWidth="1"/>
    <col min="6151" max="6151" width="20.5703125" customWidth="1"/>
    <col min="6152" max="6153" width="10.7109375" customWidth="1"/>
    <col min="6406" max="6406" width="10.7109375" customWidth="1"/>
    <col min="6407" max="6407" width="20.5703125" customWidth="1"/>
    <col min="6408" max="6409" width="10.7109375" customWidth="1"/>
    <col min="6662" max="6662" width="10.7109375" customWidth="1"/>
    <col min="6663" max="6663" width="20.5703125" customWidth="1"/>
    <col min="6664" max="6665" width="10.7109375" customWidth="1"/>
    <col min="6918" max="6918" width="10.7109375" customWidth="1"/>
    <col min="6919" max="6919" width="20.5703125" customWidth="1"/>
    <col min="6920" max="6921" width="10.7109375" customWidth="1"/>
    <col min="7174" max="7174" width="10.7109375" customWidth="1"/>
    <col min="7175" max="7175" width="20.5703125" customWidth="1"/>
    <col min="7176" max="7177" width="10.7109375" customWidth="1"/>
    <col min="7430" max="7430" width="10.7109375" customWidth="1"/>
    <col min="7431" max="7431" width="20.5703125" customWidth="1"/>
    <col min="7432" max="7433" width="10.7109375" customWidth="1"/>
    <col min="7686" max="7686" width="10.7109375" customWidth="1"/>
    <col min="7687" max="7687" width="20.5703125" customWidth="1"/>
    <col min="7688" max="7689" width="10.7109375" customWidth="1"/>
    <col min="7942" max="7942" width="10.7109375" customWidth="1"/>
    <col min="7943" max="7943" width="20.5703125" customWidth="1"/>
    <col min="7944" max="7945" width="10.7109375" customWidth="1"/>
    <col min="8198" max="8198" width="10.7109375" customWidth="1"/>
    <col min="8199" max="8199" width="20.5703125" customWidth="1"/>
    <col min="8200" max="8201" width="10.7109375" customWidth="1"/>
    <col min="8454" max="8454" width="10.7109375" customWidth="1"/>
    <col min="8455" max="8455" width="20.5703125" customWidth="1"/>
    <col min="8456" max="8457" width="10.7109375" customWidth="1"/>
    <col min="8710" max="8710" width="10.7109375" customWidth="1"/>
    <col min="8711" max="8711" width="20.5703125" customWidth="1"/>
    <col min="8712" max="8713" width="10.7109375" customWidth="1"/>
    <col min="8966" max="8966" width="10.7109375" customWidth="1"/>
    <col min="8967" max="8967" width="20.5703125" customWidth="1"/>
    <col min="8968" max="8969" width="10.7109375" customWidth="1"/>
    <col min="9222" max="9222" width="10.7109375" customWidth="1"/>
    <col min="9223" max="9223" width="20.5703125" customWidth="1"/>
    <col min="9224" max="9225" width="10.7109375" customWidth="1"/>
    <col min="9478" max="9478" width="10.7109375" customWidth="1"/>
    <col min="9479" max="9479" width="20.5703125" customWidth="1"/>
    <col min="9480" max="9481" width="10.7109375" customWidth="1"/>
    <col min="9734" max="9734" width="10.7109375" customWidth="1"/>
    <col min="9735" max="9735" width="20.5703125" customWidth="1"/>
    <col min="9736" max="9737" width="10.7109375" customWidth="1"/>
    <col min="9990" max="9990" width="10.7109375" customWidth="1"/>
    <col min="9991" max="9991" width="20.5703125" customWidth="1"/>
    <col min="9992" max="9993" width="10.7109375" customWidth="1"/>
    <col min="10246" max="10246" width="10.7109375" customWidth="1"/>
    <col min="10247" max="10247" width="20.5703125" customWidth="1"/>
    <col min="10248" max="10249" width="10.7109375" customWidth="1"/>
    <col min="10502" max="10502" width="10.7109375" customWidth="1"/>
    <col min="10503" max="10503" width="20.5703125" customWidth="1"/>
    <col min="10504" max="10505" width="10.7109375" customWidth="1"/>
    <col min="10758" max="10758" width="10.7109375" customWidth="1"/>
    <col min="10759" max="10759" width="20.5703125" customWidth="1"/>
    <col min="10760" max="10761" width="10.7109375" customWidth="1"/>
    <col min="11014" max="11014" width="10.7109375" customWidth="1"/>
    <col min="11015" max="11015" width="20.5703125" customWidth="1"/>
    <col min="11016" max="11017" width="10.7109375" customWidth="1"/>
    <col min="11270" max="11270" width="10.7109375" customWidth="1"/>
    <col min="11271" max="11271" width="20.5703125" customWidth="1"/>
    <col min="11272" max="11273" width="10.7109375" customWidth="1"/>
    <col min="11526" max="11526" width="10.7109375" customWidth="1"/>
    <col min="11527" max="11527" width="20.5703125" customWidth="1"/>
    <col min="11528" max="11529" width="10.7109375" customWidth="1"/>
    <col min="11782" max="11782" width="10.7109375" customWidth="1"/>
    <col min="11783" max="11783" width="20.5703125" customWidth="1"/>
    <col min="11784" max="11785" width="10.7109375" customWidth="1"/>
    <col min="12038" max="12038" width="10.7109375" customWidth="1"/>
    <col min="12039" max="12039" width="20.5703125" customWidth="1"/>
    <col min="12040" max="12041" width="10.7109375" customWidth="1"/>
    <col min="12294" max="12294" width="10.7109375" customWidth="1"/>
    <col min="12295" max="12295" width="20.5703125" customWidth="1"/>
    <col min="12296" max="12297" width="10.7109375" customWidth="1"/>
    <col min="12550" max="12550" width="10.7109375" customWidth="1"/>
    <col min="12551" max="12551" width="20.5703125" customWidth="1"/>
    <col min="12552" max="12553" width="10.7109375" customWidth="1"/>
    <col min="12806" max="12806" width="10.7109375" customWidth="1"/>
    <col min="12807" max="12807" width="20.5703125" customWidth="1"/>
    <col min="12808" max="12809" width="10.7109375" customWidth="1"/>
    <col min="13062" max="13062" width="10.7109375" customWidth="1"/>
    <col min="13063" max="13063" width="20.5703125" customWidth="1"/>
    <col min="13064" max="13065" width="10.7109375" customWidth="1"/>
    <col min="13318" max="13318" width="10.7109375" customWidth="1"/>
    <col min="13319" max="13319" width="20.5703125" customWidth="1"/>
    <col min="13320" max="13321" width="10.7109375" customWidth="1"/>
    <col min="13574" max="13574" width="10.7109375" customWidth="1"/>
    <col min="13575" max="13575" width="20.5703125" customWidth="1"/>
    <col min="13576" max="13577" width="10.7109375" customWidth="1"/>
    <col min="13830" max="13830" width="10.7109375" customWidth="1"/>
    <col min="13831" max="13831" width="20.5703125" customWidth="1"/>
    <col min="13832" max="13833" width="10.7109375" customWidth="1"/>
    <col min="14086" max="14086" width="10.7109375" customWidth="1"/>
    <col min="14087" max="14087" width="20.5703125" customWidth="1"/>
    <col min="14088" max="14089" width="10.7109375" customWidth="1"/>
    <col min="14342" max="14342" width="10.7109375" customWidth="1"/>
    <col min="14343" max="14343" width="20.5703125" customWidth="1"/>
    <col min="14344" max="14345" width="10.7109375" customWidth="1"/>
    <col min="14598" max="14598" width="10.7109375" customWidth="1"/>
    <col min="14599" max="14599" width="20.5703125" customWidth="1"/>
    <col min="14600" max="14601" width="10.7109375" customWidth="1"/>
    <col min="14854" max="14854" width="10.7109375" customWidth="1"/>
    <col min="14855" max="14855" width="20.5703125" customWidth="1"/>
    <col min="14856" max="14857" width="10.7109375" customWidth="1"/>
    <col min="15110" max="15110" width="10.7109375" customWidth="1"/>
    <col min="15111" max="15111" width="20.5703125" customWidth="1"/>
    <col min="15112" max="15113" width="10.7109375" customWidth="1"/>
    <col min="15366" max="15366" width="10.7109375" customWidth="1"/>
    <col min="15367" max="15367" width="20.5703125" customWidth="1"/>
    <col min="15368" max="15369" width="10.7109375" customWidth="1"/>
    <col min="15622" max="15622" width="10.7109375" customWidth="1"/>
    <col min="15623" max="15623" width="20.5703125" customWidth="1"/>
    <col min="15624" max="15625" width="10.7109375" customWidth="1"/>
    <col min="15878" max="15878" width="10.7109375" customWidth="1"/>
    <col min="15879" max="15879" width="20.5703125" customWidth="1"/>
    <col min="15880" max="15881" width="10.7109375" customWidth="1"/>
    <col min="16134" max="16134" width="10.7109375" customWidth="1"/>
    <col min="16135" max="16135" width="20.5703125" customWidth="1"/>
    <col min="16136" max="16137" width="10.7109375" customWidth="1"/>
  </cols>
  <sheetData>
    <row r="2" spans="4:15" ht="21">
      <c r="F2" s="12" t="s">
        <v>20</v>
      </c>
      <c r="G2" s="12"/>
      <c r="H2" s="12"/>
      <c r="I2" s="12"/>
      <c r="J2" s="13" t="s">
        <v>21</v>
      </c>
      <c r="K2" s="14"/>
      <c r="L2" s="14"/>
      <c r="M2" s="14"/>
      <c r="N2" s="14"/>
      <c r="O2" s="15"/>
    </row>
    <row r="4" spans="4:15" ht="21">
      <c r="F4" s="16" t="s">
        <v>22</v>
      </c>
      <c r="G4" s="17"/>
      <c r="H4" s="18"/>
      <c r="I4" s="18"/>
      <c r="J4" s="19" t="s">
        <v>23</v>
      </c>
      <c r="K4" s="18"/>
      <c r="L4" s="18"/>
      <c r="M4" s="18"/>
      <c r="N4" s="18"/>
    </row>
    <row r="5" spans="4:15" ht="21">
      <c r="F5" s="10"/>
      <c r="G5" s="10"/>
    </row>
    <row r="6" spans="4:15" ht="21">
      <c r="F6" s="16" t="s">
        <v>24</v>
      </c>
      <c r="G6" s="17"/>
      <c r="H6" s="18"/>
      <c r="I6" s="18"/>
      <c r="J6" s="19" t="s">
        <v>25</v>
      </c>
      <c r="K6" s="18"/>
      <c r="L6" s="18"/>
      <c r="M6" s="18"/>
      <c r="N6" s="18"/>
      <c r="O6" s="18"/>
    </row>
    <row r="7" spans="4:15" ht="21">
      <c r="F7" s="10"/>
      <c r="G7" s="10"/>
    </row>
    <row r="8" spans="4:15" ht="21">
      <c r="F8" s="10"/>
      <c r="G8" s="10"/>
    </row>
    <row r="9" spans="4:15" ht="21">
      <c r="F9" s="12" t="s">
        <v>26</v>
      </c>
      <c r="G9" s="12"/>
      <c r="H9" s="20"/>
      <c r="I9" s="20"/>
      <c r="J9" s="19" t="s">
        <v>27</v>
      </c>
      <c r="K9" s="20"/>
      <c r="L9" s="20"/>
      <c r="M9" s="20"/>
      <c r="N9" s="20"/>
      <c r="O9" s="15"/>
    </row>
    <row r="13" spans="4:15" ht="21">
      <c r="D13" s="21"/>
      <c r="E13" s="15"/>
      <c r="F13" s="21"/>
      <c r="G13" s="22" t="s">
        <v>28</v>
      </c>
      <c r="H13" s="15"/>
      <c r="I13" s="15"/>
      <c r="J13" s="15"/>
      <c r="K13" s="15"/>
      <c r="L13" s="23" t="s">
        <v>29</v>
      </c>
      <c r="M13" s="15"/>
      <c r="N13" s="15"/>
    </row>
    <row r="14" spans="4:15" ht="18.75">
      <c r="D14" s="21"/>
      <c r="E14" s="21"/>
      <c r="F14" s="21"/>
      <c r="G14" s="21"/>
      <c r="H14" s="15"/>
      <c r="I14" s="15"/>
      <c r="J14" s="15"/>
      <c r="K14" s="15"/>
      <c r="N14" s="15"/>
    </row>
    <row r="15" spans="4:15">
      <c r="D15" s="15"/>
      <c r="E15" s="24"/>
      <c r="F15" s="25" t="s">
        <v>30</v>
      </c>
      <c r="G15" s="24"/>
      <c r="H15" s="24"/>
      <c r="I15" s="24"/>
      <c r="J15" s="24"/>
      <c r="K15" s="24"/>
      <c r="L15" s="23" t="s">
        <v>31</v>
      </c>
      <c r="N15" s="15"/>
    </row>
    <row r="16" spans="4:15">
      <c r="D16" s="15"/>
      <c r="E16" s="24"/>
      <c r="F16" s="24"/>
      <c r="G16" s="24"/>
      <c r="H16" s="24"/>
      <c r="I16" s="24"/>
      <c r="J16" s="24"/>
      <c r="K16" s="24"/>
      <c r="L16" s="15"/>
      <c r="N16" s="15"/>
    </row>
    <row r="17" spans="4:19">
      <c r="D17" s="15"/>
      <c r="E17" s="24"/>
      <c r="F17" s="25" t="s">
        <v>32</v>
      </c>
      <c r="G17" s="24"/>
      <c r="H17" s="24"/>
      <c r="I17" s="24"/>
      <c r="J17" s="24"/>
      <c r="K17" s="24"/>
      <c r="L17" s="23" t="s">
        <v>33</v>
      </c>
      <c r="N17" s="15"/>
    </row>
    <row r="18" spans="4:19">
      <c r="D18" s="15"/>
      <c r="E18" s="24"/>
      <c r="F18" s="24"/>
      <c r="G18" s="24"/>
      <c r="H18" s="24"/>
      <c r="I18" s="24"/>
      <c r="J18" s="24"/>
      <c r="K18" s="24"/>
      <c r="L18" s="15"/>
      <c r="N18" s="15"/>
    </row>
    <row r="19" spans="4:19">
      <c r="D19" s="15"/>
      <c r="E19" s="24"/>
      <c r="F19" s="25" t="s">
        <v>34</v>
      </c>
      <c r="G19" s="24"/>
      <c r="H19" s="24"/>
      <c r="I19" s="24"/>
      <c r="J19" s="24"/>
      <c r="K19" s="24"/>
      <c r="L19" s="23" t="s">
        <v>35</v>
      </c>
      <c r="N19" s="15"/>
    </row>
    <row r="20" spans="4:19">
      <c r="D20" s="15"/>
      <c r="E20" s="24"/>
      <c r="F20" s="24"/>
      <c r="G20" s="24"/>
      <c r="H20" s="24"/>
      <c r="I20" s="24"/>
      <c r="J20" s="24"/>
      <c r="K20" s="24"/>
      <c r="L20" s="15"/>
      <c r="N20" s="15"/>
    </row>
    <row r="21" spans="4:19">
      <c r="D21" s="15"/>
      <c r="E21" s="24"/>
      <c r="F21" s="25" t="s">
        <v>36</v>
      </c>
      <c r="G21" s="24"/>
      <c r="H21" s="24"/>
      <c r="I21" s="24"/>
      <c r="J21" s="24"/>
      <c r="K21" s="24"/>
      <c r="L21" s="23" t="s">
        <v>37</v>
      </c>
      <c r="N21" s="15"/>
    </row>
    <row r="22" spans="4:19">
      <c r="D22" s="15"/>
      <c r="E22" s="24"/>
      <c r="F22" s="26"/>
      <c r="G22" s="24"/>
      <c r="H22" s="24"/>
      <c r="I22" s="24"/>
      <c r="J22" s="24"/>
      <c r="K22" s="24"/>
      <c r="L22" s="15"/>
      <c r="N22" s="15"/>
    </row>
    <row r="23" spans="4:19">
      <c r="D23" s="15"/>
      <c r="E23" s="24"/>
      <c r="F23" s="25" t="s">
        <v>38</v>
      </c>
      <c r="G23" s="24"/>
      <c r="H23" s="24"/>
      <c r="I23" s="24"/>
      <c r="J23" s="24"/>
      <c r="K23" s="24"/>
      <c r="L23" s="23" t="s">
        <v>39</v>
      </c>
      <c r="N23" s="15"/>
      <c r="Q23" s="15"/>
      <c r="R23" s="15"/>
      <c r="S23" s="15"/>
    </row>
    <row r="25" spans="4:19">
      <c r="M25" s="15"/>
    </row>
  </sheetData>
  <hyperlinks>
    <hyperlink ref="F15" r:id="rId1" display="https://youtu.be/Zsl1Wf48woE" xr:uid="{76E9EA8F-AA61-4A22-85FB-485D78A77914}"/>
    <hyperlink ref="F17" r:id="rId2" display="https://youtu.be/P60AqURcTyA" xr:uid="{18D6A5D1-8AB7-49AC-9D00-14DAFAB7BF55}"/>
    <hyperlink ref="F19" r:id="rId3" display="https://youtu.be/mE7N0U7GfB8" xr:uid="{FEDCD0C6-5496-40C8-A10A-79AC41C07754}"/>
    <hyperlink ref="F21" r:id="rId4" display="https://youtu.be/GhJRHpyLP2I" xr:uid="{E02176C0-0165-4A99-8842-7CF35C0C6871}"/>
    <hyperlink ref="F23" r:id="rId5" display="https://youtu.be/NhpcEvxBcE4" xr:uid="{FB112C9B-0E89-41A2-B079-9675E6AC743E}"/>
    <hyperlink ref="L15" r:id="rId6" xr:uid="{9485A3C5-F638-4E4D-A0F1-166AB27DCDC9}"/>
    <hyperlink ref="L17" r:id="rId7" xr:uid="{8812F080-013C-4AA4-B526-3FF4EA0B7BD1}"/>
    <hyperlink ref="L19" r:id="rId8" xr:uid="{93C3A2D6-DA4A-437F-8D88-0EC5E6CBEF2A}"/>
    <hyperlink ref="L21" r:id="rId9" xr:uid="{E71C3BF5-FEBD-4122-A578-99CDBD318580}"/>
    <hyperlink ref="L23" r:id="rId10" xr:uid="{F0B0A414-7A2F-4A26-A540-11CA7A1918DF}"/>
    <hyperlink ref="J2" r:id="rId11" xr:uid="{F6DF1B1F-023D-4F59-9A80-DE687532D78A}"/>
    <hyperlink ref="J9" r:id="rId12" xr:uid="{3CA67DCB-B2B0-414F-869F-C39C09A4D0C0}"/>
    <hyperlink ref="L13" r:id="rId13" xr:uid="{5205D6B5-D73C-4764-9BF0-357E7321846C}"/>
    <hyperlink ref="J6" r:id="rId14" xr:uid="{8A977141-2E88-43D3-9EC4-B9D3E8419543}"/>
    <hyperlink ref="J4" r:id="rId15" xr:uid="{9CE6F2D1-6DDA-40AD-87B8-D2E8745B13DE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G5" sqref="G5"/>
    </sheetView>
  </sheetViews>
  <sheetFormatPr defaultRowHeight="17.25"/>
  <cols>
    <col min="1" max="1" width="55.28515625" style="3" customWidth="1"/>
    <col min="2" max="2" width="23" style="5" customWidth="1"/>
    <col min="3" max="3" width="9.140625" style="3"/>
    <col min="4" max="4" width="23.140625" style="3" customWidth="1"/>
    <col min="5" max="5" width="9" style="3" customWidth="1"/>
    <col min="6" max="8" width="23.140625" style="3" customWidth="1"/>
    <col min="9" max="16384" width="9.140625" style="3"/>
  </cols>
  <sheetData>
    <row r="1" spans="1:8" ht="26.25">
      <c r="A1" s="9"/>
      <c r="B1" s="27" t="s">
        <v>18</v>
      </c>
      <c r="C1" s="9"/>
      <c r="D1" s="9"/>
      <c r="E1" s="9"/>
      <c r="F1" s="9"/>
    </row>
    <row r="2" spans="1:8" ht="26.25">
      <c r="B2" s="11"/>
    </row>
    <row r="3" spans="1:8">
      <c r="A3" s="7" t="s">
        <v>19</v>
      </c>
      <c r="B3" s="2">
        <v>0.1</v>
      </c>
      <c r="C3" s="9"/>
      <c r="D3" s="2">
        <v>0.1</v>
      </c>
      <c r="E3" s="2"/>
      <c r="F3" s="2">
        <v>0.1</v>
      </c>
    </row>
    <row r="4" spans="1:8">
      <c r="A4" s="4" t="s">
        <v>0</v>
      </c>
      <c r="B4" s="5">
        <v>1000</v>
      </c>
      <c r="D4" s="5">
        <v>2000</v>
      </c>
      <c r="E4" s="5"/>
      <c r="F4" s="5">
        <v>3000</v>
      </c>
      <c r="G4" s="5"/>
      <c r="H4" s="5"/>
    </row>
    <row r="5" spans="1:8">
      <c r="A5" s="4" t="s">
        <v>1</v>
      </c>
      <c r="D5" s="5"/>
      <c r="E5" s="5"/>
      <c r="F5" s="5"/>
      <c r="G5" s="5"/>
      <c r="H5" s="5"/>
    </row>
    <row r="6" spans="1:8">
      <c r="A6" s="4" t="s">
        <v>2</v>
      </c>
      <c r="B6" s="5">
        <v>50000</v>
      </c>
      <c r="D6" s="5">
        <v>50000</v>
      </c>
      <c r="E6" s="5"/>
      <c r="F6" s="5">
        <v>50000</v>
      </c>
      <c r="G6" s="5"/>
      <c r="H6" s="5"/>
    </row>
    <row r="7" spans="1:8">
      <c r="A7" s="4" t="s">
        <v>3</v>
      </c>
      <c r="B7" s="5">
        <v>2000</v>
      </c>
      <c r="D7" s="5">
        <v>2000</v>
      </c>
      <c r="E7" s="5"/>
      <c r="F7" s="5">
        <v>2000</v>
      </c>
      <c r="G7" s="5"/>
      <c r="H7" s="5"/>
    </row>
    <row r="8" spans="1:8">
      <c r="A8" s="4" t="s">
        <v>4</v>
      </c>
      <c r="B8" s="5">
        <v>3000</v>
      </c>
      <c r="D8" s="5">
        <v>3000</v>
      </c>
      <c r="E8" s="5"/>
      <c r="F8" s="5">
        <v>3000</v>
      </c>
      <c r="G8" s="5"/>
      <c r="H8" s="5"/>
    </row>
    <row r="9" spans="1:8">
      <c r="A9" s="1" t="s">
        <v>5</v>
      </c>
      <c r="B9" s="6">
        <f>SUM(B6:B8)</f>
        <v>55000</v>
      </c>
      <c r="D9" s="6">
        <f>SUM(D6:D8)</f>
        <v>55000</v>
      </c>
      <c r="E9" s="6"/>
      <c r="F9" s="6">
        <f>SUM(F6:F8)</f>
        <v>55000</v>
      </c>
      <c r="G9" s="6"/>
      <c r="H9" s="6"/>
    </row>
    <row r="10" spans="1:8">
      <c r="A10" s="4" t="s">
        <v>6</v>
      </c>
      <c r="D10" s="5"/>
      <c r="E10" s="5"/>
      <c r="F10" s="5"/>
      <c r="G10" s="5"/>
      <c r="H10" s="5"/>
    </row>
    <row r="11" spans="1:8">
      <c r="A11" s="4" t="s">
        <v>7</v>
      </c>
      <c r="B11" s="5">
        <v>20000000</v>
      </c>
      <c r="D11" s="5">
        <v>20000000</v>
      </c>
      <c r="E11" s="5"/>
      <c r="F11" s="5">
        <v>20000000</v>
      </c>
      <c r="G11" s="5"/>
      <c r="H11" s="5"/>
    </row>
    <row r="12" spans="1:8">
      <c r="A12" s="4" t="s">
        <v>8</v>
      </c>
      <c r="B12" s="5">
        <v>10000000</v>
      </c>
      <c r="D12" s="5">
        <v>10000000</v>
      </c>
      <c r="E12" s="5"/>
      <c r="F12" s="5">
        <v>10000000</v>
      </c>
      <c r="G12" s="5"/>
      <c r="H12" s="5"/>
    </row>
    <row r="13" spans="1:8">
      <c r="A13" s="4" t="s">
        <v>9</v>
      </c>
      <c r="B13" s="5">
        <v>5000000</v>
      </c>
      <c r="D13" s="5">
        <v>5000000</v>
      </c>
      <c r="E13" s="5"/>
      <c r="F13" s="5">
        <v>5000000</v>
      </c>
      <c r="G13" s="5"/>
      <c r="H13" s="5"/>
    </row>
    <row r="14" spans="1:8">
      <c r="A14" s="1" t="s">
        <v>10</v>
      </c>
      <c r="B14" s="6">
        <f>SUM(B11:B13)</f>
        <v>35000000</v>
      </c>
      <c r="D14" s="6">
        <f>SUM(D11:D13)</f>
        <v>35000000</v>
      </c>
      <c r="E14" s="6"/>
      <c r="F14" s="6">
        <f>SUM(F11:F13)</f>
        <v>35000000</v>
      </c>
      <c r="G14" s="6"/>
      <c r="H14" s="6"/>
    </row>
    <row r="15" spans="1:8">
      <c r="A15" s="1" t="s">
        <v>11</v>
      </c>
      <c r="B15" s="6">
        <f>B9*B4+B14</f>
        <v>90000000</v>
      </c>
      <c r="D15" s="6">
        <f>D9*D4+D14</f>
        <v>145000000</v>
      </c>
      <c r="E15" s="6"/>
      <c r="F15" s="6">
        <f>F9*F4+F14</f>
        <v>200000000</v>
      </c>
      <c r="G15" s="6"/>
      <c r="H15" s="6"/>
    </row>
    <row r="16" spans="1:8">
      <c r="A16" s="1" t="s">
        <v>17</v>
      </c>
      <c r="B16" s="6">
        <f>B15/(1-B3)</f>
        <v>100000000</v>
      </c>
      <c r="D16" s="6">
        <f>D15/(1-D3)</f>
        <v>161111111.1111111</v>
      </c>
      <c r="E16" s="6"/>
      <c r="F16" s="6">
        <f>F15/(1-F3)</f>
        <v>222222222.22222221</v>
      </c>
      <c r="G16" s="3" t="s">
        <v>16</v>
      </c>
      <c r="H16" s="6"/>
    </row>
    <row r="17" spans="1:8">
      <c r="A17" s="7" t="s">
        <v>12</v>
      </c>
      <c r="B17" s="8">
        <f>B16/B4</f>
        <v>100000</v>
      </c>
      <c r="C17" s="9"/>
      <c r="D17" s="8">
        <f>D16/D4</f>
        <v>80555.555555555547</v>
      </c>
      <c r="E17" s="8"/>
      <c r="F17" s="8">
        <f>F16/F4</f>
        <v>74074.074074074073</v>
      </c>
      <c r="G17" s="28"/>
      <c r="H17" s="28"/>
    </row>
    <row r="18" spans="1:8">
      <c r="A18" s="1" t="s">
        <v>13</v>
      </c>
      <c r="B18" s="6">
        <f>B16-B15</f>
        <v>10000000</v>
      </c>
      <c r="D18" s="6">
        <f>D16-D15</f>
        <v>16111111.111111104</v>
      </c>
      <c r="E18" s="6"/>
      <c r="F18" s="6">
        <f>F16-F15</f>
        <v>22222222.222222209</v>
      </c>
      <c r="G18" s="6"/>
      <c r="H18" s="6"/>
    </row>
    <row r="19" spans="1:8">
      <c r="A19" s="1" t="s">
        <v>14</v>
      </c>
      <c r="B19" s="6">
        <f>B18*20%</f>
        <v>2000000</v>
      </c>
      <c r="D19" s="6">
        <f>D18*20%</f>
        <v>3222222.2222222211</v>
      </c>
      <c r="E19" s="6"/>
      <c r="F19" s="6">
        <f>F18*20%</f>
        <v>4444444.4444444422</v>
      </c>
      <c r="G19" s="29" t="s">
        <v>40</v>
      </c>
      <c r="H19" s="6"/>
    </row>
    <row r="20" spans="1:8">
      <c r="A20" s="1" t="s">
        <v>15</v>
      </c>
      <c r="B20" s="6">
        <f>B18-B19</f>
        <v>8000000</v>
      </c>
      <c r="D20" s="6">
        <f>D18-D19</f>
        <v>12888888.888888884</v>
      </c>
      <c r="E20" s="6"/>
      <c r="F20" s="6">
        <f>F18-F19</f>
        <v>17777777.777777769</v>
      </c>
      <c r="G20" s="6"/>
      <c r="H20" s="6"/>
    </row>
    <row r="21" spans="1:8">
      <c r="A21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Tinh_gia_ban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2026-03-04T09:08:58Z</dcterms:created>
  <dcterms:modified xsi:type="dcterms:W3CDTF">2026-03-05T00:38:35Z</dcterms:modified>
</cp:coreProperties>
</file>